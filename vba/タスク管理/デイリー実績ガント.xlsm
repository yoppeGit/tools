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you\study\言語\ExcelVBA\02.タスク管理\日報\"/>
    </mc:Choice>
  </mc:AlternateContent>
  <xr:revisionPtr revIDLastSave="0" documentId="13_ncr:1_{3CAD4FB3-ED44-4CF8-8FC6-D5508D5334DA}" xr6:coauthVersionLast="47" xr6:coauthVersionMax="47" xr10:uidLastSave="{00000000-0000-0000-0000-000000000000}"/>
  <bookViews>
    <workbookView xWindow="-120" yWindow="-120" windowWidth="29040" windowHeight="16440" tabRatio="734" activeTab="1" xr2:uid="{5FA5AAC0-37D4-431C-ACA3-5F93AA758720}"/>
  </bookViews>
  <sheets>
    <sheet name="表紙" sheetId="5" r:id="rId1"/>
    <sheet name="実績表_20240617" sheetId="25" r:id="rId2"/>
    <sheet name="工程表tmp" sheetId="4" state="hidden" r:id="rId3"/>
  </sheets>
  <definedNames>
    <definedName name="_xlpm.calctim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25" l="1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H2" i="25"/>
  <c r="H3" i="25" s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H3" i="4"/>
  <c r="I2" i="4"/>
  <c r="J2" i="4" s="1"/>
  <c r="H2" i="4"/>
  <c r="I2" i="25" l="1"/>
  <c r="J3" i="4"/>
  <c r="K2" i="4"/>
  <c r="I3" i="4"/>
  <c r="J2" i="25" l="1"/>
  <c r="I3" i="25"/>
  <c r="K3" i="4"/>
  <c r="L2" i="4"/>
  <c r="K2" i="25" l="1"/>
  <c r="J3" i="25"/>
  <c r="L3" i="4"/>
  <c r="M2" i="4"/>
  <c r="L2" i="25" l="1"/>
  <c r="K3" i="25"/>
  <c r="N2" i="4"/>
  <c r="M3" i="4"/>
  <c r="L3" i="25" l="1"/>
  <c r="M2" i="25"/>
  <c r="O2" i="4"/>
  <c r="N3" i="4"/>
  <c r="N2" i="25" l="1"/>
  <c r="M3" i="25"/>
  <c r="P2" i="4"/>
  <c r="O3" i="4"/>
  <c r="N3" i="25" l="1"/>
  <c r="O2" i="25"/>
  <c r="Q2" i="4"/>
  <c r="P3" i="4"/>
  <c r="P2" i="25" l="1"/>
  <c r="O3" i="25"/>
  <c r="R2" i="4"/>
  <c r="Q3" i="4"/>
  <c r="Q2" i="25" l="1"/>
  <c r="P3" i="25"/>
  <c r="S2" i="4"/>
  <c r="R3" i="4"/>
  <c r="R2" i="25" l="1"/>
  <c r="Q3" i="25"/>
  <c r="T2" i="4"/>
  <c r="S3" i="4"/>
  <c r="S2" i="25" l="1"/>
  <c r="R3" i="25"/>
  <c r="U2" i="4"/>
  <c r="T3" i="4"/>
  <c r="S3" i="25" l="1"/>
  <c r="T2" i="25"/>
  <c r="U3" i="4"/>
  <c r="V2" i="4"/>
  <c r="U2" i="25" l="1"/>
  <c r="T3" i="25"/>
  <c r="W2" i="4"/>
  <c r="V3" i="4"/>
  <c r="U3" i="25" l="1"/>
  <c r="V2" i="25"/>
  <c r="W3" i="4"/>
  <c r="X2" i="4"/>
  <c r="W2" i="25" l="1"/>
  <c r="V3" i="25"/>
  <c r="X3" i="4"/>
  <c r="Y2" i="4"/>
  <c r="W3" i="25" l="1"/>
  <c r="X2" i="25"/>
  <c r="Y3" i="4"/>
  <c r="Z2" i="4"/>
  <c r="X3" i="25" l="1"/>
  <c r="Y2" i="25"/>
  <c r="AA2" i="4"/>
  <c r="Z3" i="4"/>
  <c r="Z2" i="25" l="1"/>
  <c r="Y3" i="25"/>
  <c r="AB2" i="4"/>
  <c r="AA3" i="4"/>
  <c r="Z3" i="25" l="1"/>
  <c r="AA2" i="25"/>
  <c r="AC2" i="4"/>
  <c r="AB3" i="4"/>
  <c r="AA3" i="25" l="1"/>
  <c r="AB2" i="25"/>
  <c r="AD2" i="4"/>
  <c r="AC3" i="4"/>
  <c r="AC2" i="25" l="1"/>
  <c r="AB3" i="25"/>
  <c r="AD3" i="4"/>
  <c r="AE2" i="4"/>
  <c r="AD2" i="25" l="1"/>
  <c r="AC3" i="25"/>
  <c r="AE3" i="4"/>
  <c r="AF2" i="4"/>
  <c r="AD3" i="25" l="1"/>
  <c r="AE2" i="25"/>
  <c r="AG2" i="4"/>
  <c r="AF3" i="4"/>
  <c r="AE3" i="25" l="1"/>
  <c r="AF2" i="25"/>
  <c r="AH2" i="4"/>
  <c r="AG3" i="4"/>
  <c r="AF3" i="25" l="1"/>
  <c r="AG2" i="25"/>
  <c r="AH3" i="4"/>
  <c r="AI2" i="4"/>
  <c r="AG3" i="25" l="1"/>
  <c r="AH2" i="25"/>
  <c r="AJ2" i="4"/>
  <c r="AI3" i="4"/>
  <c r="AI2" i="25" l="1"/>
  <c r="AH3" i="25"/>
  <c r="AK2" i="4"/>
  <c r="AJ3" i="4"/>
  <c r="AJ2" i="25" l="1"/>
  <c r="AI3" i="25"/>
  <c r="AL2" i="4"/>
  <c r="AK3" i="4"/>
  <c r="AK2" i="25" l="1"/>
  <c r="AJ3" i="25"/>
  <c r="AL3" i="4"/>
  <c r="AM2" i="4"/>
  <c r="AL2" i="25" l="1"/>
  <c r="AK3" i="25"/>
  <c r="AM3" i="4"/>
  <c r="AN2" i="4"/>
  <c r="AL3" i="25" l="1"/>
  <c r="AM2" i="25"/>
  <c r="AN3" i="4"/>
  <c r="AO2" i="4"/>
  <c r="AM3" i="25" l="1"/>
  <c r="AN2" i="25"/>
  <c r="AP2" i="4"/>
  <c r="AO3" i="4"/>
  <c r="AN3" i="25" l="1"/>
  <c r="AO2" i="25"/>
  <c r="AP3" i="4"/>
  <c r="AQ2" i="4"/>
  <c r="AP2" i="25" l="1"/>
  <c r="AO3" i="25"/>
  <c r="AR2" i="4"/>
  <c r="AQ3" i="4"/>
  <c r="AQ2" i="25" l="1"/>
  <c r="AP3" i="25"/>
  <c r="AS2" i="4"/>
  <c r="AR3" i="4"/>
  <c r="AR2" i="25" l="1"/>
  <c r="AQ3" i="25"/>
  <c r="AT2" i="4"/>
  <c r="AS3" i="4"/>
  <c r="AS2" i="25" l="1"/>
  <c r="AR3" i="25"/>
  <c r="AT3" i="4"/>
  <c r="AU2" i="4"/>
  <c r="AT2" i="25" l="1"/>
  <c r="AS3" i="25"/>
  <c r="AV2" i="4"/>
  <c r="AU3" i="4"/>
  <c r="AT3" i="25" l="1"/>
  <c r="AU2" i="25"/>
  <c r="AW2" i="4"/>
  <c r="AV3" i="4"/>
  <c r="AV2" i="25" l="1"/>
  <c r="AU3" i="25"/>
  <c r="AX2" i="4"/>
  <c r="AW3" i="4"/>
  <c r="AV3" i="25" l="1"/>
  <c r="AW2" i="25"/>
  <c r="AY2" i="4"/>
  <c r="AX3" i="4"/>
  <c r="AX2" i="25" l="1"/>
  <c r="AW3" i="25"/>
  <c r="AZ2" i="4"/>
  <c r="AY3" i="4"/>
  <c r="AY2" i="25" l="1"/>
  <c r="AX3" i="25"/>
  <c r="BA2" i="4"/>
  <c r="AZ3" i="4"/>
  <c r="AZ2" i="25" l="1"/>
  <c r="AY3" i="25"/>
  <c r="BA3" i="4"/>
  <c r="BB2" i="4"/>
  <c r="BA2" i="25" l="1"/>
  <c r="AZ3" i="25"/>
  <c r="BB3" i="4"/>
  <c r="BC2" i="4"/>
  <c r="BB2" i="25" l="1"/>
  <c r="BA3" i="25"/>
  <c r="BC3" i="4"/>
  <c r="BD2" i="4"/>
  <c r="BB3" i="25" l="1"/>
  <c r="BC2" i="25"/>
  <c r="BD3" i="4"/>
  <c r="BE2" i="4"/>
  <c r="BD2" i="25" l="1"/>
  <c r="BC3" i="25"/>
  <c r="BE3" i="4"/>
  <c r="BF2" i="4"/>
  <c r="BD3" i="25" l="1"/>
  <c r="BE2" i="25"/>
  <c r="BG2" i="4"/>
  <c r="BF3" i="4"/>
  <c r="BF2" i="25" l="1"/>
  <c r="BE3" i="25"/>
  <c r="BG3" i="4"/>
  <c r="BH2" i="4"/>
  <c r="BF3" i="25" l="1"/>
  <c r="BG2" i="25"/>
  <c r="BH3" i="4"/>
  <c r="BI2" i="4"/>
  <c r="BH2" i="25" l="1"/>
  <c r="BG3" i="25"/>
  <c r="BJ2" i="4"/>
  <c r="BI3" i="4"/>
  <c r="BH3" i="25" l="1"/>
  <c r="BI2" i="25"/>
  <c r="BJ3" i="4"/>
  <c r="BK2" i="4"/>
  <c r="BI3" i="25" l="1"/>
  <c r="BJ2" i="25"/>
  <c r="BK3" i="4"/>
  <c r="BL2" i="4"/>
  <c r="BJ3" i="25" l="1"/>
  <c r="BK2" i="25"/>
  <c r="BL3" i="4"/>
  <c r="BM2" i="4"/>
  <c r="BL2" i="25" l="1"/>
  <c r="BK3" i="25"/>
  <c r="BM3" i="4"/>
  <c r="BN2" i="4"/>
  <c r="BL3" i="25" l="1"/>
  <c r="BM2" i="25"/>
  <c r="BO2" i="4"/>
  <c r="BN3" i="4"/>
  <c r="BM3" i="25" l="1"/>
  <c r="BN2" i="25"/>
  <c r="BP2" i="4"/>
  <c r="BP3" i="4" s="1"/>
  <c r="BO3" i="4"/>
  <c r="BO2" i="25" l="1"/>
  <c r="BN3" i="25"/>
  <c r="BP2" i="25" l="1"/>
  <c r="BP3" i="25" s="1"/>
  <c r="BO3" i="25"/>
</calcChain>
</file>

<file path=xl/sharedStrings.xml><?xml version="1.0" encoding="utf-8"?>
<sst xmlns="http://schemas.openxmlformats.org/spreadsheetml/2006/main" count="30" uniqueCount="14">
  <si>
    <t>工程表</t>
    <rPh sb="0" eb="3">
      <t>コウテイヒョウ</t>
    </rPh>
    <phoneticPr fontId="1"/>
  </si>
  <si>
    <t>No.</t>
  </si>
  <si>
    <t>開始</t>
    <rPh sb="0" eb="2">
      <t>カイシ</t>
    </rPh>
    <phoneticPr fontId="1"/>
  </si>
  <si>
    <t>終了</t>
    <rPh sb="0" eb="2">
      <t>シュウリョウ</t>
    </rPh>
    <phoneticPr fontId="1"/>
  </si>
  <si>
    <t>表示時間間隔[分]：</t>
    <rPh sb="0" eb="2">
      <t>ヒョウジ</t>
    </rPh>
    <rPh sb="2" eb="6">
      <t>ジカンカンカク</t>
    </rPh>
    <rPh sb="7" eb="8">
      <t>フン</t>
    </rPh>
    <phoneticPr fontId="1"/>
  </si>
  <si>
    <t>表示時刻：</t>
    <rPh sb="0" eb="2">
      <t>ヒョウジ</t>
    </rPh>
    <rPh sb="2" eb="4">
      <t>ジコク</t>
    </rPh>
    <phoneticPr fontId="1"/>
  </si>
  <si>
    <t>-</t>
    <phoneticPr fontId="1"/>
  </si>
  <si>
    <t>←</t>
    <phoneticPr fontId="1"/>
  </si>
  <si>
    <t>表示の限界です。</t>
    <rPh sb="0" eb="2">
      <t>ヒョウジ</t>
    </rPh>
    <rPh sb="3" eb="5">
      <t>ゲンカイ</t>
    </rPh>
    <phoneticPr fontId="1"/>
  </si>
  <si>
    <t>所要時間</t>
    <rPh sb="0" eb="4">
      <t>ショヨウジカン</t>
    </rPh>
    <phoneticPr fontId="1"/>
  </si>
  <si>
    <t>↑</t>
    <phoneticPr fontId="1"/>
  </si>
  <si>
    <t>PJ名</t>
    <rPh sb="2" eb="3">
      <t>メイ</t>
    </rPh>
    <phoneticPr fontId="1"/>
  </si>
  <si>
    <t>工程</t>
    <rPh sb="0" eb="2">
      <t>コウテイ</t>
    </rPh>
    <phoneticPr fontId="1"/>
  </si>
  <si>
    <t>タスク名</t>
    <rPh sb="3" eb="4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</si>
</sst>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9" formatCode="00"/>
    <numFmt numFmtId="180" formatCode="h"/>
    <numFmt numFmtId="181" formatCode="[h]:mm"/>
    <numFmt numFmtId="182" formatCode="&quot;起票日：&quot;yyyy/mm/dd"/>
  </numFmts>
  <fonts count="7" x14ac:knownFonts="1"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b/>
      <sz val="18"/>
      <color theme="6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20" fontId="2" fillId="0" borderId="0" xfId="0" applyNumberFormat="1" applyFont="1">
      <alignment vertical="center"/>
    </xf>
    <xf numFmtId="20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20" fontId="2" fillId="0" borderId="0" xfId="0" applyNumberFormat="1" applyFont="1" applyAlignment="1">
      <alignment horizontal="center" vertical="center"/>
    </xf>
    <xf numFmtId="180" fontId="2" fillId="0" borderId="0" xfId="0" applyNumberFormat="1" applyFont="1" applyBorder="1" applyAlignment="1">
      <alignment horizontal="left" vertical="center"/>
    </xf>
    <xf numFmtId="179" fontId="2" fillId="0" borderId="0" xfId="0" applyNumberFormat="1" applyFont="1" applyBorder="1" applyAlignment="1">
      <alignment horizontal="left" vertical="center"/>
    </xf>
    <xf numFmtId="0" fontId="2" fillId="2" borderId="0" xfId="0" applyFont="1" applyFill="1">
      <alignment vertical="center"/>
    </xf>
    <xf numFmtId="20" fontId="2" fillId="0" borderId="0" xfId="0" applyNumberFormat="1" applyFont="1" applyAlignment="1">
      <alignment horizontal="left" vertical="center"/>
    </xf>
    <xf numFmtId="0" fontId="4" fillId="0" borderId="0" xfId="0" applyFo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3" fillId="3" borderId="2" xfId="0" applyFont="1" applyFill="1" applyBorder="1">
      <alignment vertical="center"/>
    </xf>
    <xf numFmtId="0" fontId="2" fillId="0" borderId="0" xfId="0" applyFont="1" applyBorder="1">
      <alignment vertical="center"/>
    </xf>
    <xf numFmtId="181" fontId="2" fillId="0" borderId="2" xfId="0" applyNumberFormat="1" applyFont="1" applyBorder="1" applyAlignment="1">
      <alignment horizontal="center" vertical="center"/>
    </xf>
    <xf numFmtId="182" fontId="2" fillId="0" borderId="0" xfId="0" applyNumberFormat="1" applyFont="1" applyAlignment="1">
      <alignment horizontal="left"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10">
    <dxf>
      <fill>
        <patternFill>
          <bgColor theme="7"/>
        </patternFill>
      </fill>
    </dxf>
    <dxf>
      <border>
        <left style="dotted">
          <color theme="1" tint="0.499984740745262"/>
        </left>
        <right style="dotted">
          <color theme="1" tint="0.499984740745262"/>
        </right>
        <top style="dotted">
          <color theme="1" tint="0.499984740745262"/>
        </top>
        <bottom style="dotted">
          <color theme="1" tint="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auto="1"/>
      </font>
      <fill>
        <patternFill patternType="none">
          <bgColor auto="1"/>
        </patternFill>
      </fill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color theme="0" tint="-0.14996795556505021"/>
      </font>
      <fill>
        <patternFill patternType="none">
          <bgColor auto="1"/>
        </patternFill>
      </fill>
      <border>
        <left/>
        <right/>
        <top style="thin">
          <color theme="1"/>
        </top>
        <bottom style="thin">
          <color theme="1"/>
        </bottom>
      </border>
    </dxf>
    <dxf>
      <fill>
        <patternFill>
          <bgColor theme="7"/>
        </patternFill>
      </fill>
    </dxf>
    <dxf>
      <border>
        <left style="dotted">
          <color theme="1" tint="0.499984740745262"/>
        </left>
        <right style="dotted">
          <color theme="1" tint="0.499984740745262"/>
        </right>
        <top style="dotted">
          <color theme="1" tint="0.499984740745262"/>
        </top>
        <bottom style="dotted">
          <color theme="1" tint="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auto="1"/>
      </font>
      <fill>
        <patternFill patternType="none">
          <bgColor auto="1"/>
        </patternFill>
      </fill>
      <border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strike val="0"/>
        <color theme="0" tint="-0.14996795556505021"/>
      </font>
      <fill>
        <patternFill patternType="none">
          <bgColor auto="1"/>
        </patternFill>
      </fill>
      <border>
        <left/>
        <right/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228600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日次ガントシート作成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F2F54-9349-4F9C-9D57-2BBB847FD143}">
  <sheetPr codeName="Sheet2"/>
  <dimension ref="B2"/>
  <sheetViews>
    <sheetView workbookViewId="0">
      <selection activeCell="B2" sqref="B2"/>
    </sheetView>
  </sheetViews>
  <sheetFormatPr defaultRowHeight="18.75" x14ac:dyDescent="0.4"/>
  <sheetData>
    <row r="2" spans="2:2" x14ac:dyDescent="0.4">
      <c r="B2" s="1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MakeSheet_Click">
                <anchor moveWithCells="1" sizeWithCells="1">
                  <from>
                    <xdr:col>1</xdr:col>
                    <xdr:colOff>9525</xdr:colOff>
                    <xdr:row>1</xdr:row>
                    <xdr:rowOff>228600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6C4A-D679-4170-A1DD-92D1B06F9E65}">
  <sheetPr codeName="Sheet4"/>
  <dimension ref="A1:BS27"/>
  <sheetViews>
    <sheetView tabSelected="1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4.25" defaultRowHeight="15.75" x14ac:dyDescent="0.4"/>
  <cols>
    <col min="1" max="1" width="4" style="1" customWidth="1"/>
    <col min="2" max="2" width="22.5" style="1" customWidth="1"/>
    <col min="3" max="3" width="8" style="1" customWidth="1"/>
    <col min="4" max="4" width="32" style="1" customWidth="1"/>
    <col min="5" max="6" width="6.25" style="1" customWidth="1"/>
    <col min="7" max="7" width="8.875" style="1" customWidth="1"/>
    <col min="8" max="48" width="4" style="1" bestFit="1" customWidth="1"/>
    <col min="49" max="68" width="4.25" style="1"/>
    <col min="69" max="69" width="4.25" style="9"/>
    <col min="70" max="16384" width="4.25" style="1"/>
  </cols>
  <sheetData>
    <row r="1" spans="1:71" ht="24" x14ac:dyDescent="0.4">
      <c r="A1" s="13" t="s">
        <v>0</v>
      </c>
      <c r="B1" s="11"/>
      <c r="C1" s="11"/>
    </row>
    <row r="2" spans="1:71" x14ac:dyDescent="0.4">
      <c r="B2" s="17">
        <v>45460</v>
      </c>
      <c r="D2" s="5" t="s">
        <v>5</v>
      </c>
      <c r="E2" s="2">
        <v>0.375</v>
      </c>
      <c r="F2" s="6" t="s">
        <v>6</v>
      </c>
      <c r="G2" s="10">
        <v>0.79166666666666663</v>
      </c>
      <c r="H2" s="7">
        <f>E2</f>
        <v>0.375</v>
      </c>
      <c r="I2" s="7">
        <f>_xlfn.LET(_xlpm.calctime, H2+TIME(0,$E$3,0), IFERROR(IF(_xlpm.calctime&lt;=$G$2, _xlpm.calctime, ""), ""))</f>
        <v>0.38541666666666669</v>
      </c>
      <c r="J2" s="7">
        <f t="shared" ref="J2:BD2" si="0">_xlfn.LET(_xlpm.calctime, I2+TIME(0,$E$3,0), IFERROR(IF(_xlpm.calctime&lt;=$G$2, _xlpm.calctime, ""), ""))</f>
        <v>0.39583333333333337</v>
      </c>
      <c r="K2" s="7">
        <f t="shared" si="0"/>
        <v>0.40625000000000006</v>
      </c>
      <c r="L2" s="7">
        <f t="shared" si="0"/>
        <v>0.41666666666666674</v>
      </c>
      <c r="M2" s="7">
        <f t="shared" si="0"/>
        <v>0.42708333333333343</v>
      </c>
      <c r="N2" s="7">
        <f t="shared" si="0"/>
        <v>0.43750000000000011</v>
      </c>
      <c r="O2" s="7">
        <f t="shared" si="0"/>
        <v>0.4479166666666668</v>
      </c>
      <c r="P2" s="7">
        <f t="shared" si="0"/>
        <v>0.45833333333333348</v>
      </c>
      <c r="Q2" s="7">
        <f t="shared" si="0"/>
        <v>0.46875000000000017</v>
      </c>
      <c r="R2" s="7">
        <f t="shared" si="0"/>
        <v>0.47916666666666685</v>
      </c>
      <c r="S2" s="7">
        <f t="shared" si="0"/>
        <v>0.48958333333333354</v>
      </c>
      <c r="T2" s="7">
        <f t="shared" si="0"/>
        <v>0.50000000000000022</v>
      </c>
      <c r="U2" s="7">
        <f t="shared" si="0"/>
        <v>0.51041666666666685</v>
      </c>
      <c r="V2" s="7">
        <f t="shared" si="0"/>
        <v>0.52083333333333348</v>
      </c>
      <c r="W2" s="7">
        <f t="shared" si="0"/>
        <v>0.53125000000000011</v>
      </c>
      <c r="X2" s="7">
        <f t="shared" si="0"/>
        <v>0.54166666666666674</v>
      </c>
      <c r="Y2" s="7">
        <f t="shared" si="0"/>
        <v>0.55208333333333337</v>
      </c>
      <c r="Z2" s="7">
        <f t="shared" si="0"/>
        <v>0.5625</v>
      </c>
      <c r="AA2" s="7">
        <f t="shared" si="0"/>
        <v>0.57291666666666663</v>
      </c>
      <c r="AB2" s="7">
        <f t="shared" si="0"/>
        <v>0.58333333333333326</v>
      </c>
      <c r="AC2" s="7">
        <f t="shared" si="0"/>
        <v>0.59374999999999989</v>
      </c>
      <c r="AD2" s="7">
        <f t="shared" si="0"/>
        <v>0.60416666666666652</v>
      </c>
      <c r="AE2" s="7">
        <f t="shared" si="0"/>
        <v>0.61458333333333315</v>
      </c>
      <c r="AF2" s="7">
        <f t="shared" si="0"/>
        <v>0.62499999999999978</v>
      </c>
      <c r="AG2" s="7">
        <f t="shared" si="0"/>
        <v>0.63541666666666641</v>
      </c>
      <c r="AH2" s="7">
        <f t="shared" si="0"/>
        <v>0.64583333333333304</v>
      </c>
      <c r="AI2" s="7">
        <f t="shared" si="0"/>
        <v>0.65624999999999967</v>
      </c>
      <c r="AJ2" s="7">
        <f t="shared" si="0"/>
        <v>0.6666666666666663</v>
      </c>
      <c r="AK2" s="7">
        <f t="shared" si="0"/>
        <v>0.67708333333333293</v>
      </c>
      <c r="AL2" s="7">
        <f t="shared" si="0"/>
        <v>0.68749999999999956</v>
      </c>
      <c r="AM2" s="7">
        <f t="shared" si="0"/>
        <v>0.69791666666666619</v>
      </c>
      <c r="AN2" s="7">
        <f t="shared" si="0"/>
        <v>0.70833333333333282</v>
      </c>
      <c r="AO2" s="7">
        <f t="shared" si="0"/>
        <v>0.71874999999999944</v>
      </c>
      <c r="AP2" s="7">
        <f t="shared" si="0"/>
        <v>0.72916666666666607</v>
      </c>
      <c r="AQ2" s="7">
        <f t="shared" si="0"/>
        <v>0.7395833333333327</v>
      </c>
      <c r="AR2" s="7">
        <f t="shared" si="0"/>
        <v>0.74999999999999933</v>
      </c>
      <c r="AS2" s="7">
        <f t="shared" si="0"/>
        <v>0.76041666666666596</v>
      </c>
      <c r="AT2" s="7">
        <f t="shared" si="0"/>
        <v>0.77083333333333259</v>
      </c>
      <c r="AU2" s="7">
        <f t="shared" si="0"/>
        <v>0.78124999999999922</v>
      </c>
      <c r="AV2" s="7">
        <f t="shared" si="0"/>
        <v>0.79166666666666585</v>
      </c>
      <c r="AW2" s="7" t="str">
        <f t="shared" si="0"/>
        <v/>
      </c>
      <c r="AX2" s="7" t="str">
        <f t="shared" si="0"/>
        <v/>
      </c>
      <c r="AY2" s="7" t="str">
        <f t="shared" si="0"/>
        <v/>
      </c>
      <c r="AZ2" s="7" t="str">
        <f t="shared" si="0"/>
        <v/>
      </c>
      <c r="BA2" s="7" t="str">
        <f t="shared" si="0"/>
        <v/>
      </c>
      <c r="BB2" s="7" t="str">
        <f t="shared" si="0"/>
        <v/>
      </c>
      <c r="BC2" s="7" t="str">
        <f t="shared" si="0"/>
        <v/>
      </c>
      <c r="BD2" s="7" t="str">
        <f t="shared" si="0"/>
        <v/>
      </c>
      <c r="BE2" s="7" t="str">
        <f>_xlfn.LET(_xlpm.calctime, BD2+TIME(0,$E$3,0), IFERROR(IF(_xlpm.calctime&lt;=$G$2, _xlpm.calctime, ""), ""))</f>
        <v/>
      </c>
      <c r="BF2" s="7" t="str">
        <f>_xlfn.LET(_xlpm.calctime, BE2+TIME(0,$E$3,0), IFERROR(IF(_xlpm.calctime&lt;=$G$2, _xlpm.calctime, ""), ""))</f>
        <v/>
      </c>
      <c r="BG2" s="7" t="str">
        <f>_xlfn.LET(_xlpm.calctime, BF2+TIME(0,$E$3,0), IFERROR(IF(_xlpm.calctime&lt;=$G$2, _xlpm.calctime, ""), ""))</f>
        <v/>
      </c>
      <c r="BH2" s="7" t="str">
        <f>_xlfn.LET(_xlpm.calctime, BG2+TIME(0,$E$3,0), IFERROR(IF(_xlpm.calctime&lt;=$G$2, _xlpm.calctime, ""), ""))</f>
        <v/>
      </c>
      <c r="BI2" s="7" t="str">
        <f>_xlfn.LET(_xlpm.calctime, BH2+TIME(0,$E$3,0), IFERROR(IF(_xlpm.calctime&lt;=$G$2, _xlpm.calctime, ""), ""))</f>
        <v/>
      </c>
      <c r="BJ2" s="7" t="str">
        <f>_xlfn.LET(_xlpm.calctime, BI2+TIME(0,$E$3,0), IFERROR(IF(_xlpm.calctime&lt;=$G$2, _xlpm.calctime, ""), ""))</f>
        <v/>
      </c>
      <c r="BK2" s="7" t="str">
        <f>_xlfn.LET(_xlpm.calctime, BJ2+TIME(0,$E$3,0), IFERROR(IF(_xlpm.calctime&lt;=$G$2, _xlpm.calctime, ""), ""))</f>
        <v/>
      </c>
      <c r="BL2" s="7" t="str">
        <f>_xlfn.LET(_xlpm.calctime, BK2+TIME(0,$E$3,0), IFERROR(IF(_xlpm.calctime&lt;=$G$2, _xlpm.calctime, ""), ""))</f>
        <v/>
      </c>
      <c r="BM2" s="7" t="str">
        <f>_xlfn.LET(_xlpm.calctime, BL2+TIME(0,$E$3,0), IFERROR(IF(_xlpm.calctime&lt;=$G$2, _xlpm.calctime, ""), ""))</f>
        <v/>
      </c>
      <c r="BN2" s="7" t="str">
        <f>_xlfn.LET(_xlpm.calctime, BM2+TIME(0,$E$3,0), IFERROR(IF(_xlpm.calctime&lt;=$G$2, _xlpm.calctime, ""), ""))</f>
        <v/>
      </c>
      <c r="BO2" s="7" t="str">
        <f>_xlfn.LET(_xlpm.calctime, BN2+TIME(0,$E$3,0), IFERROR(IF(_xlpm.calctime&lt;=$G$2, _xlpm.calctime, ""), ""))</f>
        <v/>
      </c>
      <c r="BP2" s="7" t="str">
        <f>_xlfn.LET(_xlpm.calctime, BO2+TIME(0,$E$3,0), IFERROR(IF(_xlpm.calctime&lt;=$G$2, _xlpm.calctime, ""), ""))</f>
        <v/>
      </c>
      <c r="BR2" s="1" t="s">
        <v>7</v>
      </c>
      <c r="BS2" s="1" t="s">
        <v>8</v>
      </c>
    </row>
    <row r="3" spans="1:71" x14ac:dyDescent="0.4">
      <c r="D3" s="5" t="s">
        <v>4</v>
      </c>
      <c r="E3" s="1">
        <v>15</v>
      </c>
      <c r="H3" s="8">
        <f>IFERROR(MINUTE(H2), "")</f>
        <v>0</v>
      </c>
      <c r="I3" s="8">
        <f t="shared" ref="I3:BP3" si="1">IFERROR(MINUTE(I2), "")</f>
        <v>15</v>
      </c>
      <c r="J3" s="8">
        <f t="shared" si="1"/>
        <v>30</v>
      </c>
      <c r="K3" s="8">
        <f t="shared" si="1"/>
        <v>45</v>
      </c>
      <c r="L3" s="8">
        <f t="shared" si="1"/>
        <v>0</v>
      </c>
      <c r="M3" s="8">
        <f t="shared" si="1"/>
        <v>15</v>
      </c>
      <c r="N3" s="8">
        <f t="shared" si="1"/>
        <v>30</v>
      </c>
      <c r="O3" s="8">
        <f t="shared" si="1"/>
        <v>45</v>
      </c>
      <c r="P3" s="8">
        <f t="shared" si="1"/>
        <v>0</v>
      </c>
      <c r="Q3" s="8">
        <f t="shared" si="1"/>
        <v>15</v>
      </c>
      <c r="R3" s="8">
        <f t="shared" si="1"/>
        <v>30</v>
      </c>
      <c r="S3" s="8">
        <f t="shared" si="1"/>
        <v>45</v>
      </c>
      <c r="T3" s="8">
        <f t="shared" si="1"/>
        <v>0</v>
      </c>
      <c r="U3" s="8">
        <f t="shared" si="1"/>
        <v>15</v>
      </c>
      <c r="V3" s="8">
        <f t="shared" si="1"/>
        <v>30</v>
      </c>
      <c r="W3" s="8">
        <f t="shared" si="1"/>
        <v>45</v>
      </c>
      <c r="X3" s="8">
        <f t="shared" si="1"/>
        <v>0</v>
      </c>
      <c r="Y3" s="8">
        <f t="shared" si="1"/>
        <v>15</v>
      </c>
      <c r="Z3" s="8">
        <f t="shared" si="1"/>
        <v>30</v>
      </c>
      <c r="AA3" s="8">
        <f t="shared" si="1"/>
        <v>45</v>
      </c>
      <c r="AB3" s="8">
        <f t="shared" si="1"/>
        <v>0</v>
      </c>
      <c r="AC3" s="8">
        <f t="shared" si="1"/>
        <v>15</v>
      </c>
      <c r="AD3" s="8">
        <f t="shared" si="1"/>
        <v>30</v>
      </c>
      <c r="AE3" s="8">
        <f t="shared" si="1"/>
        <v>45</v>
      </c>
      <c r="AF3" s="8">
        <f t="shared" si="1"/>
        <v>0</v>
      </c>
      <c r="AG3" s="8">
        <f t="shared" si="1"/>
        <v>15</v>
      </c>
      <c r="AH3" s="8">
        <f t="shared" si="1"/>
        <v>30</v>
      </c>
      <c r="AI3" s="8">
        <f t="shared" si="1"/>
        <v>45</v>
      </c>
      <c r="AJ3" s="8">
        <f t="shared" si="1"/>
        <v>0</v>
      </c>
      <c r="AK3" s="8">
        <f t="shared" si="1"/>
        <v>15</v>
      </c>
      <c r="AL3" s="8">
        <f t="shared" si="1"/>
        <v>30</v>
      </c>
      <c r="AM3" s="8">
        <f t="shared" si="1"/>
        <v>45</v>
      </c>
      <c r="AN3" s="8">
        <f t="shared" si="1"/>
        <v>0</v>
      </c>
      <c r="AO3" s="8">
        <f t="shared" si="1"/>
        <v>15</v>
      </c>
      <c r="AP3" s="8">
        <f t="shared" si="1"/>
        <v>30</v>
      </c>
      <c r="AQ3" s="8">
        <f t="shared" si="1"/>
        <v>45</v>
      </c>
      <c r="AR3" s="8">
        <f t="shared" si="1"/>
        <v>0</v>
      </c>
      <c r="AS3" s="8">
        <f t="shared" si="1"/>
        <v>15</v>
      </c>
      <c r="AT3" s="8">
        <f t="shared" si="1"/>
        <v>30</v>
      </c>
      <c r="AU3" s="8">
        <f t="shared" si="1"/>
        <v>45</v>
      </c>
      <c r="AV3" s="8">
        <f t="shared" si="1"/>
        <v>0</v>
      </c>
      <c r="AW3" s="8" t="str">
        <f t="shared" si="1"/>
        <v/>
      </c>
      <c r="AX3" s="8" t="str">
        <f t="shared" si="1"/>
        <v/>
      </c>
      <c r="AY3" s="8" t="str">
        <f t="shared" si="1"/>
        <v/>
      </c>
      <c r="AZ3" s="8" t="str">
        <f t="shared" si="1"/>
        <v/>
      </c>
      <c r="BA3" s="8" t="str">
        <f t="shared" si="1"/>
        <v/>
      </c>
      <c r="BB3" s="8" t="str">
        <f t="shared" si="1"/>
        <v/>
      </c>
      <c r="BC3" s="8" t="str">
        <f t="shared" si="1"/>
        <v/>
      </c>
      <c r="BD3" s="8" t="str">
        <f t="shared" si="1"/>
        <v/>
      </c>
      <c r="BE3" s="8" t="str">
        <f t="shared" si="1"/>
        <v/>
      </c>
      <c r="BF3" s="8" t="str">
        <f t="shared" si="1"/>
        <v/>
      </c>
      <c r="BG3" s="8" t="str">
        <f t="shared" si="1"/>
        <v/>
      </c>
      <c r="BH3" s="8" t="str">
        <f t="shared" si="1"/>
        <v/>
      </c>
      <c r="BI3" s="8" t="str">
        <f t="shared" si="1"/>
        <v/>
      </c>
      <c r="BJ3" s="8" t="str">
        <f t="shared" si="1"/>
        <v/>
      </c>
      <c r="BK3" s="8" t="str">
        <f t="shared" si="1"/>
        <v/>
      </c>
      <c r="BL3" s="8" t="str">
        <f t="shared" si="1"/>
        <v/>
      </c>
      <c r="BM3" s="8" t="str">
        <f t="shared" si="1"/>
        <v/>
      </c>
      <c r="BN3" s="8" t="str">
        <f t="shared" si="1"/>
        <v/>
      </c>
      <c r="BO3" s="8" t="str">
        <f t="shared" si="1"/>
        <v/>
      </c>
      <c r="BP3" s="8" t="str">
        <f t="shared" si="1"/>
        <v/>
      </c>
    </row>
    <row r="4" spans="1:71" ht="21.6" customHeight="1" x14ac:dyDescent="0.4">
      <c r="A4" s="12" t="s">
        <v>1</v>
      </c>
      <c r="B4" s="12" t="s">
        <v>11</v>
      </c>
      <c r="C4" s="12" t="s">
        <v>12</v>
      </c>
      <c r="D4" s="12" t="s">
        <v>13</v>
      </c>
      <c r="E4" s="12" t="s">
        <v>2</v>
      </c>
      <c r="F4" s="12" t="s">
        <v>3</v>
      </c>
      <c r="G4" s="14" t="s">
        <v>9</v>
      </c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</row>
    <row r="5" spans="1:71" ht="21.6" customHeight="1" x14ac:dyDescent="0.4">
      <c r="A5" s="4">
        <v>1</v>
      </c>
      <c r="B5" s="4"/>
      <c r="C5" s="4"/>
      <c r="D5" s="4"/>
      <c r="E5" s="3"/>
      <c r="F5" s="3"/>
      <c r="G5" s="16" t="str">
        <f t="shared" ref="G5:G24" si="2">IF(COUNTA(E5:F5)=2, F5-E5, "--:--")</f>
        <v>--:--</v>
      </c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</row>
    <row r="6" spans="1:71" ht="21.6" customHeight="1" x14ac:dyDescent="0.4">
      <c r="A6" s="4">
        <v>2</v>
      </c>
      <c r="B6" s="4"/>
      <c r="C6" s="4"/>
      <c r="D6" s="4"/>
      <c r="E6" s="3"/>
      <c r="F6" s="3"/>
      <c r="G6" s="16" t="str">
        <f t="shared" si="2"/>
        <v>--:--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</row>
    <row r="7" spans="1:71" ht="21.6" customHeight="1" x14ac:dyDescent="0.4">
      <c r="A7" s="4">
        <v>3</v>
      </c>
      <c r="B7" s="4"/>
      <c r="C7" s="4"/>
      <c r="D7" s="4"/>
      <c r="E7" s="3"/>
      <c r="F7" s="3"/>
      <c r="G7" s="16" t="str">
        <f t="shared" si="2"/>
        <v>--:--</v>
      </c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</row>
    <row r="8" spans="1:71" ht="21.6" customHeight="1" x14ac:dyDescent="0.4">
      <c r="A8" s="4">
        <v>4</v>
      </c>
      <c r="B8" s="4"/>
      <c r="C8" s="4"/>
      <c r="D8" s="4"/>
      <c r="E8" s="3"/>
      <c r="F8" s="3"/>
      <c r="G8" s="16" t="str">
        <f t="shared" si="2"/>
        <v>--:--</v>
      </c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</row>
    <row r="9" spans="1:71" ht="21.6" customHeight="1" x14ac:dyDescent="0.4">
      <c r="A9" s="4">
        <v>5</v>
      </c>
      <c r="B9" s="4"/>
      <c r="C9" s="4"/>
      <c r="D9" s="4"/>
      <c r="E9" s="3"/>
      <c r="F9" s="3"/>
      <c r="G9" s="16" t="str">
        <f t="shared" si="2"/>
        <v>--:--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</row>
    <row r="10" spans="1:71" ht="21.6" customHeight="1" x14ac:dyDescent="0.4">
      <c r="A10" s="4">
        <v>6</v>
      </c>
      <c r="B10" s="4"/>
      <c r="C10" s="4"/>
      <c r="D10" s="4"/>
      <c r="E10" s="3"/>
      <c r="F10" s="3"/>
      <c r="G10" s="16" t="str">
        <f t="shared" si="2"/>
        <v>--:--</v>
      </c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</row>
    <row r="11" spans="1:71" ht="21.6" customHeight="1" x14ac:dyDescent="0.4">
      <c r="A11" s="4">
        <v>7</v>
      </c>
      <c r="B11" s="4"/>
      <c r="C11" s="4"/>
      <c r="D11" s="4"/>
      <c r="E11" s="3"/>
      <c r="F11" s="3"/>
      <c r="G11" s="16" t="str">
        <f t="shared" si="2"/>
        <v>--:--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</row>
    <row r="12" spans="1:71" ht="21.6" customHeight="1" x14ac:dyDescent="0.4">
      <c r="A12" s="4">
        <v>8</v>
      </c>
      <c r="B12" s="4"/>
      <c r="C12" s="4"/>
      <c r="D12" s="4"/>
      <c r="E12" s="3"/>
      <c r="F12" s="3"/>
      <c r="G12" s="16" t="str">
        <f t="shared" si="2"/>
        <v>--:--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</row>
    <row r="13" spans="1:71" ht="21.6" customHeight="1" x14ac:dyDescent="0.4">
      <c r="A13" s="4">
        <v>9</v>
      </c>
      <c r="B13" s="4"/>
      <c r="C13" s="4"/>
      <c r="D13" s="4"/>
      <c r="E13" s="3"/>
      <c r="F13" s="3"/>
      <c r="G13" s="16" t="str">
        <f t="shared" si="2"/>
        <v>--:--</v>
      </c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</row>
    <row r="14" spans="1:71" ht="21.6" customHeight="1" x14ac:dyDescent="0.4">
      <c r="A14" s="4">
        <v>10</v>
      </c>
      <c r="B14" s="4"/>
      <c r="C14" s="4"/>
      <c r="D14" s="4"/>
      <c r="E14" s="3"/>
      <c r="F14" s="3"/>
      <c r="G14" s="16" t="str">
        <f t="shared" si="2"/>
        <v>--:--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</row>
    <row r="15" spans="1:71" ht="21.6" customHeight="1" x14ac:dyDescent="0.4">
      <c r="A15" s="4">
        <v>11</v>
      </c>
      <c r="B15" s="4"/>
      <c r="C15" s="4"/>
      <c r="D15" s="4"/>
      <c r="E15" s="3"/>
      <c r="F15" s="3"/>
      <c r="G15" s="16" t="str">
        <f t="shared" si="2"/>
        <v>--:--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</row>
    <row r="16" spans="1:71" ht="21.6" customHeight="1" x14ac:dyDescent="0.4">
      <c r="A16" s="4">
        <v>12</v>
      </c>
      <c r="B16" s="4"/>
      <c r="C16" s="4"/>
      <c r="D16" s="4"/>
      <c r="E16" s="3"/>
      <c r="F16" s="3"/>
      <c r="G16" s="16" t="str">
        <f t="shared" si="2"/>
        <v>--:--</v>
      </c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</row>
    <row r="17" spans="1:68" ht="21.6" customHeight="1" x14ac:dyDescent="0.4">
      <c r="A17" s="4">
        <v>13</v>
      </c>
      <c r="B17" s="4"/>
      <c r="C17" s="4"/>
      <c r="D17" s="4"/>
      <c r="E17" s="3"/>
      <c r="F17" s="3"/>
      <c r="G17" s="16" t="str">
        <f t="shared" si="2"/>
        <v>--:--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</row>
    <row r="18" spans="1:68" ht="21.6" customHeight="1" x14ac:dyDescent="0.4">
      <c r="A18" s="4">
        <v>14</v>
      </c>
      <c r="B18" s="4"/>
      <c r="C18" s="4"/>
      <c r="D18" s="4"/>
      <c r="E18" s="3"/>
      <c r="F18" s="3"/>
      <c r="G18" s="16" t="str">
        <f t="shared" si="2"/>
        <v>--:--</v>
      </c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</row>
    <row r="19" spans="1:68" ht="21.6" customHeight="1" x14ac:dyDescent="0.4">
      <c r="A19" s="4">
        <v>15</v>
      </c>
      <c r="B19" s="4"/>
      <c r="C19" s="4"/>
      <c r="D19" s="4"/>
      <c r="E19" s="3"/>
      <c r="F19" s="3"/>
      <c r="G19" s="16" t="str">
        <f t="shared" si="2"/>
        <v>--:--</v>
      </c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</row>
    <row r="20" spans="1:68" ht="21.6" customHeight="1" x14ac:dyDescent="0.4">
      <c r="A20" s="4">
        <v>16</v>
      </c>
      <c r="B20" s="4"/>
      <c r="C20" s="4"/>
      <c r="D20" s="4"/>
      <c r="E20" s="3"/>
      <c r="F20" s="3"/>
      <c r="G20" s="16" t="str">
        <f t="shared" si="2"/>
        <v>--:--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</row>
    <row r="21" spans="1:68" ht="21.6" customHeight="1" x14ac:dyDescent="0.4">
      <c r="A21" s="4">
        <v>17</v>
      </c>
      <c r="B21" s="4"/>
      <c r="C21" s="4"/>
      <c r="D21" s="4"/>
      <c r="E21" s="3"/>
      <c r="F21" s="3"/>
      <c r="G21" s="16" t="str">
        <f t="shared" si="2"/>
        <v>--:--</v>
      </c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</row>
    <row r="22" spans="1:68" ht="21.6" customHeight="1" x14ac:dyDescent="0.4">
      <c r="A22" s="4">
        <v>18</v>
      </c>
      <c r="B22" s="4"/>
      <c r="C22" s="4"/>
      <c r="D22" s="4"/>
      <c r="E22" s="3"/>
      <c r="F22" s="3"/>
      <c r="G22" s="16" t="str">
        <f t="shared" si="2"/>
        <v>--:--</v>
      </c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</row>
    <row r="23" spans="1:68" ht="21.6" customHeight="1" x14ac:dyDescent="0.4">
      <c r="A23" s="4">
        <v>19</v>
      </c>
      <c r="B23" s="4"/>
      <c r="C23" s="4"/>
      <c r="D23" s="4"/>
      <c r="E23" s="3"/>
      <c r="F23" s="3"/>
      <c r="G23" s="16" t="str">
        <f t="shared" si="2"/>
        <v>--:--</v>
      </c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</row>
    <row r="24" spans="1:68" ht="21.6" customHeight="1" x14ac:dyDescent="0.4">
      <c r="A24" s="4">
        <v>20</v>
      </c>
      <c r="B24" s="4"/>
      <c r="C24" s="4"/>
      <c r="D24" s="4"/>
      <c r="E24" s="3"/>
      <c r="F24" s="3"/>
      <c r="G24" s="16" t="str">
        <f t="shared" si="2"/>
        <v>--:--</v>
      </c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</row>
    <row r="25" spans="1:68" s="9" customFormat="1" x14ac:dyDescent="0.4"/>
    <row r="26" spans="1:68" x14ac:dyDescent="0.4">
      <c r="A26" s="1" t="s">
        <v>10</v>
      </c>
    </row>
    <row r="27" spans="1:68" x14ac:dyDescent="0.4">
      <c r="A27" s="1" t="s">
        <v>8</v>
      </c>
    </row>
  </sheetData>
  <phoneticPr fontId="1"/>
  <conditionalFormatting sqref="H2:BP2">
    <cfRule type="expression" dxfId="4" priority="4">
      <formula>HOUR(G$2)=HOUR(H$2)</formula>
    </cfRule>
    <cfRule type="expression" dxfId="3" priority="5">
      <formula>HOUR(G$2)&lt;&gt;HOUR(H$2)</formula>
    </cfRule>
  </conditionalFormatting>
  <conditionalFormatting sqref="H3:BP3">
    <cfRule type="expression" dxfId="2" priority="3">
      <formula>LEN(H$3)</formula>
    </cfRule>
  </conditionalFormatting>
  <conditionalFormatting sqref="H4:BP24">
    <cfRule type="expression" dxfId="1" priority="2">
      <formula>LEN(H$2)</formula>
    </cfRule>
  </conditionalFormatting>
  <conditionalFormatting sqref="H5:BP24">
    <cfRule type="expression" dxfId="0" priority="1">
      <formula>AND($E5&lt;=H$2, H$2&lt;$F5)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C2528-F473-4DF6-B3DA-00022C4C3CDE}">
  <sheetPr codeName="Sheet3"/>
  <dimension ref="A1:BS27"/>
  <sheetViews>
    <sheetView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4.25" defaultRowHeight="15.75" x14ac:dyDescent="0.4"/>
  <cols>
    <col min="1" max="1" width="4" style="1" customWidth="1"/>
    <col min="2" max="2" width="22.5" style="1" customWidth="1"/>
    <col min="3" max="3" width="8" style="1" customWidth="1"/>
    <col min="4" max="4" width="32" style="1" customWidth="1"/>
    <col min="5" max="6" width="6.25" style="1" customWidth="1"/>
    <col min="7" max="7" width="8.875" style="1" customWidth="1"/>
    <col min="8" max="48" width="4" style="1" bestFit="1" customWidth="1"/>
    <col min="49" max="68" width="4.25" style="1"/>
    <col min="69" max="69" width="4.25" style="9"/>
    <col min="70" max="16384" width="4.25" style="1"/>
  </cols>
  <sheetData>
    <row r="1" spans="1:71" ht="24" x14ac:dyDescent="0.4">
      <c r="A1" s="13" t="s">
        <v>0</v>
      </c>
      <c r="B1" s="11"/>
      <c r="C1" s="11"/>
    </row>
    <row r="2" spans="1:71" x14ac:dyDescent="0.4">
      <c r="B2" s="17"/>
      <c r="D2" s="5" t="s">
        <v>5</v>
      </c>
      <c r="E2" s="2">
        <v>0.375</v>
      </c>
      <c r="F2" s="6" t="s">
        <v>6</v>
      </c>
      <c r="G2" s="10">
        <v>0.79166666666666663</v>
      </c>
      <c r="H2" s="7">
        <f>E2</f>
        <v>0.375</v>
      </c>
      <c r="I2" s="7">
        <f>_xlfn.LET(_xlpm.calctime, H2+TIME(0,$E$3,0), IFERROR(IF(_xlpm.calctime&lt;=$G$2, _xlpm.calctime, ""), ""))</f>
        <v>0.38541666666666669</v>
      </c>
      <c r="J2" s="7">
        <f t="shared" ref="J2:BD2" si="0">_xlfn.LET(_xlpm.calctime, I2+TIME(0,$E$3,0), IFERROR(IF(_xlpm.calctime&lt;=$G$2, _xlpm.calctime, ""), ""))</f>
        <v>0.39583333333333337</v>
      </c>
      <c r="K2" s="7">
        <f t="shared" si="0"/>
        <v>0.40625000000000006</v>
      </c>
      <c r="L2" s="7">
        <f t="shared" si="0"/>
        <v>0.41666666666666674</v>
      </c>
      <c r="M2" s="7">
        <f t="shared" si="0"/>
        <v>0.42708333333333343</v>
      </c>
      <c r="N2" s="7">
        <f t="shared" si="0"/>
        <v>0.43750000000000011</v>
      </c>
      <c r="O2" s="7">
        <f t="shared" si="0"/>
        <v>0.4479166666666668</v>
      </c>
      <c r="P2" s="7">
        <f t="shared" si="0"/>
        <v>0.45833333333333348</v>
      </c>
      <c r="Q2" s="7">
        <f t="shared" si="0"/>
        <v>0.46875000000000017</v>
      </c>
      <c r="R2" s="7">
        <f t="shared" si="0"/>
        <v>0.47916666666666685</v>
      </c>
      <c r="S2" s="7">
        <f t="shared" si="0"/>
        <v>0.48958333333333354</v>
      </c>
      <c r="T2" s="7">
        <f t="shared" si="0"/>
        <v>0.50000000000000022</v>
      </c>
      <c r="U2" s="7">
        <f t="shared" si="0"/>
        <v>0.51041666666666685</v>
      </c>
      <c r="V2" s="7">
        <f t="shared" si="0"/>
        <v>0.52083333333333348</v>
      </c>
      <c r="W2" s="7">
        <f t="shared" si="0"/>
        <v>0.53125000000000011</v>
      </c>
      <c r="X2" s="7">
        <f t="shared" si="0"/>
        <v>0.54166666666666674</v>
      </c>
      <c r="Y2" s="7">
        <f t="shared" si="0"/>
        <v>0.55208333333333337</v>
      </c>
      <c r="Z2" s="7">
        <f t="shared" si="0"/>
        <v>0.5625</v>
      </c>
      <c r="AA2" s="7">
        <f t="shared" si="0"/>
        <v>0.57291666666666663</v>
      </c>
      <c r="AB2" s="7">
        <f t="shared" si="0"/>
        <v>0.58333333333333326</v>
      </c>
      <c r="AC2" s="7">
        <f t="shared" si="0"/>
        <v>0.59374999999999989</v>
      </c>
      <c r="AD2" s="7">
        <f t="shared" si="0"/>
        <v>0.60416666666666652</v>
      </c>
      <c r="AE2" s="7">
        <f t="shared" si="0"/>
        <v>0.61458333333333315</v>
      </c>
      <c r="AF2" s="7">
        <f t="shared" si="0"/>
        <v>0.62499999999999978</v>
      </c>
      <c r="AG2" s="7">
        <f t="shared" si="0"/>
        <v>0.63541666666666641</v>
      </c>
      <c r="AH2" s="7">
        <f t="shared" si="0"/>
        <v>0.64583333333333304</v>
      </c>
      <c r="AI2" s="7">
        <f t="shared" si="0"/>
        <v>0.65624999999999967</v>
      </c>
      <c r="AJ2" s="7">
        <f t="shared" si="0"/>
        <v>0.6666666666666663</v>
      </c>
      <c r="AK2" s="7">
        <f t="shared" si="0"/>
        <v>0.67708333333333293</v>
      </c>
      <c r="AL2" s="7">
        <f t="shared" si="0"/>
        <v>0.68749999999999956</v>
      </c>
      <c r="AM2" s="7">
        <f t="shared" si="0"/>
        <v>0.69791666666666619</v>
      </c>
      <c r="AN2" s="7">
        <f t="shared" si="0"/>
        <v>0.70833333333333282</v>
      </c>
      <c r="AO2" s="7">
        <f t="shared" si="0"/>
        <v>0.71874999999999944</v>
      </c>
      <c r="AP2" s="7">
        <f t="shared" si="0"/>
        <v>0.72916666666666607</v>
      </c>
      <c r="AQ2" s="7">
        <f t="shared" si="0"/>
        <v>0.7395833333333327</v>
      </c>
      <c r="AR2" s="7">
        <f t="shared" si="0"/>
        <v>0.74999999999999933</v>
      </c>
      <c r="AS2" s="7">
        <f t="shared" si="0"/>
        <v>0.76041666666666596</v>
      </c>
      <c r="AT2" s="7">
        <f t="shared" si="0"/>
        <v>0.77083333333333259</v>
      </c>
      <c r="AU2" s="7">
        <f t="shared" si="0"/>
        <v>0.78124999999999922</v>
      </c>
      <c r="AV2" s="7">
        <f t="shared" si="0"/>
        <v>0.79166666666666585</v>
      </c>
      <c r="AW2" s="7" t="str">
        <f t="shared" si="0"/>
        <v/>
      </c>
      <c r="AX2" s="7" t="str">
        <f t="shared" si="0"/>
        <v/>
      </c>
      <c r="AY2" s="7" t="str">
        <f t="shared" si="0"/>
        <v/>
      </c>
      <c r="AZ2" s="7" t="str">
        <f t="shared" si="0"/>
        <v/>
      </c>
      <c r="BA2" s="7" t="str">
        <f t="shared" si="0"/>
        <v/>
      </c>
      <c r="BB2" s="7" t="str">
        <f t="shared" si="0"/>
        <v/>
      </c>
      <c r="BC2" s="7" t="str">
        <f t="shared" si="0"/>
        <v/>
      </c>
      <c r="BD2" s="7" t="str">
        <f t="shared" si="0"/>
        <v/>
      </c>
      <c r="BE2" s="7" t="str">
        <f>_xlfn.LET(_xlpm.calctime, BD2+TIME(0,$E$3,0), IFERROR(IF(_xlpm.calctime&lt;=$G$2, _xlpm.calctime, ""), ""))</f>
        <v/>
      </c>
      <c r="BF2" s="7" t="str">
        <f>_xlfn.LET(_xlpm.calctime, BE2+TIME(0,$E$3,0), IFERROR(IF(_xlpm.calctime&lt;=$G$2, _xlpm.calctime, ""), ""))</f>
        <v/>
      </c>
      <c r="BG2" s="7" t="str">
        <f>_xlfn.LET(_xlpm.calctime, BF2+TIME(0,$E$3,0), IFERROR(IF(_xlpm.calctime&lt;=$G$2, _xlpm.calctime, ""), ""))</f>
        <v/>
      </c>
      <c r="BH2" s="7" t="str">
        <f>_xlfn.LET(_xlpm.calctime, BG2+TIME(0,$E$3,0), IFERROR(IF(_xlpm.calctime&lt;=$G$2, _xlpm.calctime, ""), ""))</f>
        <v/>
      </c>
      <c r="BI2" s="7" t="str">
        <f>_xlfn.LET(_xlpm.calctime, BH2+TIME(0,$E$3,0), IFERROR(IF(_xlpm.calctime&lt;=$G$2, _xlpm.calctime, ""), ""))</f>
        <v/>
      </c>
      <c r="BJ2" s="7" t="str">
        <f>_xlfn.LET(_xlpm.calctime, BI2+TIME(0,$E$3,0), IFERROR(IF(_xlpm.calctime&lt;=$G$2, _xlpm.calctime, ""), ""))</f>
        <v/>
      </c>
      <c r="BK2" s="7" t="str">
        <f>_xlfn.LET(_xlpm.calctime, BJ2+TIME(0,$E$3,0), IFERROR(IF(_xlpm.calctime&lt;=$G$2, _xlpm.calctime, ""), ""))</f>
        <v/>
      </c>
      <c r="BL2" s="7" t="str">
        <f>_xlfn.LET(_xlpm.calctime, BK2+TIME(0,$E$3,0), IFERROR(IF(_xlpm.calctime&lt;=$G$2, _xlpm.calctime, ""), ""))</f>
        <v/>
      </c>
      <c r="BM2" s="7" t="str">
        <f>_xlfn.LET(_xlpm.calctime, BL2+TIME(0,$E$3,0), IFERROR(IF(_xlpm.calctime&lt;=$G$2, _xlpm.calctime, ""), ""))</f>
        <v/>
      </c>
      <c r="BN2" s="7" t="str">
        <f>_xlfn.LET(_xlpm.calctime, BM2+TIME(0,$E$3,0), IFERROR(IF(_xlpm.calctime&lt;=$G$2, _xlpm.calctime, ""), ""))</f>
        <v/>
      </c>
      <c r="BO2" s="7" t="str">
        <f>_xlfn.LET(_xlpm.calctime, BN2+TIME(0,$E$3,0), IFERROR(IF(_xlpm.calctime&lt;=$G$2, _xlpm.calctime, ""), ""))</f>
        <v/>
      </c>
      <c r="BP2" s="7" t="str">
        <f>_xlfn.LET(_xlpm.calctime, BO2+TIME(0,$E$3,0), IFERROR(IF(_xlpm.calctime&lt;=$G$2, _xlpm.calctime, ""), ""))</f>
        <v/>
      </c>
      <c r="BR2" s="1" t="s">
        <v>7</v>
      </c>
      <c r="BS2" s="1" t="s">
        <v>8</v>
      </c>
    </row>
    <row r="3" spans="1:71" x14ac:dyDescent="0.4">
      <c r="D3" s="5" t="s">
        <v>4</v>
      </c>
      <c r="E3" s="1">
        <v>15</v>
      </c>
      <c r="H3" s="8">
        <f>IFERROR(MINUTE(H2), "")</f>
        <v>0</v>
      </c>
      <c r="I3" s="8">
        <f t="shared" ref="I3:BP3" si="1">IFERROR(MINUTE(I2), "")</f>
        <v>15</v>
      </c>
      <c r="J3" s="8">
        <f t="shared" si="1"/>
        <v>30</v>
      </c>
      <c r="K3" s="8">
        <f t="shared" si="1"/>
        <v>45</v>
      </c>
      <c r="L3" s="8">
        <f t="shared" si="1"/>
        <v>0</v>
      </c>
      <c r="M3" s="8">
        <f t="shared" si="1"/>
        <v>15</v>
      </c>
      <c r="N3" s="8">
        <f t="shared" si="1"/>
        <v>30</v>
      </c>
      <c r="O3" s="8">
        <f t="shared" si="1"/>
        <v>45</v>
      </c>
      <c r="P3" s="8">
        <f t="shared" si="1"/>
        <v>0</v>
      </c>
      <c r="Q3" s="8">
        <f t="shared" si="1"/>
        <v>15</v>
      </c>
      <c r="R3" s="8">
        <f t="shared" si="1"/>
        <v>30</v>
      </c>
      <c r="S3" s="8">
        <f t="shared" si="1"/>
        <v>45</v>
      </c>
      <c r="T3" s="8">
        <f t="shared" si="1"/>
        <v>0</v>
      </c>
      <c r="U3" s="8">
        <f t="shared" si="1"/>
        <v>15</v>
      </c>
      <c r="V3" s="8">
        <f t="shared" si="1"/>
        <v>30</v>
      </c>
      <c r="W3" s="8">
        <f t="shared" si="1"/>
        <v>45</v>
      </c>
      <c r="X3" s="8">
        <f t="shared" si="1"/>
        <v>0</v>
      </c>
      <c r="Y3" s="8">
        <f t="shared" si="1"/>
        <v>15</v>
      </c>
      <c r="Z3" s="8">
        <f t="shared" si="1"/>
        <v>30</v>
      </c>
      <c r="AA3" s="8">
        <f t="shared" si="1"/>
        <v>45</v>
      </c>
      <c r="AB3" s="8">
        <f t="shared" si="1"/>
        <v>0</v>
      </c>
      <c r="AC3" s="8">
        <f t="shared" si="1"/>
        <v>15</v>
      </c>
      <c r="AD3" s="8">
        <f t="shared" si="1"/>
        <v>30</v>
      </c>
      <c r="AE3" s="8">
        <f t="shared" si="1"/>
        <v>45</v>
      </c>
      <c r="AF3" s="8">
        <f t="shared" si="1"/>
        <v>0</v>
      </c>
      <c r="AG3" s="8">
        <f t="shared" si="1"/>
        <v>15</v>
      </c>
      <c r="AH3" s="8">
        <f t="shared" si="1"/>
        <v>30</v>
      </c>
      <c r="AI3" s="8">
        <f t="shared" si="1"/>
        <v>45</v>
      </c>
      <c r="AJ3" s="8">
        <f t="shared" si="1"/>
        <v>0</v>
      </c>
      <c r="AK3" s="8">
        <f t="shared" si="1"/>
        <v>15</v>
      </c>
      <c r="AL3" s="8">
        <f t="shared" si="1"/>
        <v>30</v>
      </c>
      <c r="AM3" s="8">
        <f t="shared" si="1"/>
        <v>45</v>
      </c>
      <c r="AN3" s="8">
        <f t="shared" si="1"/>
        <v>0</v>
      </c>
      <c r="AO3" s="8">
        <f t="shared" si="1"/>
        <v>15</v>
      </c>
      <c r="AP3" s="8">
        <f t="shared" si="1"/>
        <v>30</v>
      </c>
      <c r="AQ3" s="8">
        <f t="shared" si="1"/>
        <v>45</v>
      </c>
      <c r="AR3" s="8">
        <f t="shared" si="1"/>
        <v>0</v>
      </c>
      <c r="AS3" s="8">
        <f t="shared" si="1"/>
        <v>15</v>
      </c>
      <c r="AT3" s="8">
        <f t="shared" si="1"/>
        <v>30</v>
      </c>
      <c r="AU3" s="8">
        <f t="shared" si="1"/>
        <v>45</v>
      </c>
      <c r="AV3" s="8">
        <f t="shared" si="1"/>
        <v>0</v>
      </c>
      <c r="AW3" s="8" t="str">
        <f t="shared" si="1"/>
        <v/>
      </c>
      <c r="AX3" s="8" t="str">
        <f t="shared" si="1"/>
        <v/>
      </c>
      <c r="AY3" s="8" t="str">
        <f t="shared" si="1"/>
        <v/>
      </c>
      <c r="AZ3" s="8" t="str">
        <f t="shared" si="1"/>
        <v/>
      </c>
      <c r="BA3" s="8" t="str">
        <f t="shared" si="1"/>
        <v/>
      </c>
      <c r="BB3" s="8" t="str">
        <f t="shared" si="1"/>
        <v/>
      </c>
      <c r="BC3" s="8" t="str">
        <f t="shared" si="1"/>
        <v/>
      </c>
      <c r="BD3" s="8" t="str">
        <f t="shared" si="1"/>
        <v/>
      </c>
      <c r="BE3" s="8" t="str">
        <f t="shared" si="1"/>
        <v/>
      </c>
      <c r="BF3" s="8" t="str">
        <f t="shared" si="1"/>
        <v/>
      </c>
      <c r="BG3" s="8" t="str">
        <f t="shared" si="1"/>
        <v/>
      </c>
      <c r="BH3" s="8" t="str">
        <f t="shared" si="1"/>
        <v/>
      </c>
      <c r="BI3" s="8" t="str">
        <f t="shared" si="1"/>
        <v/>
      </c>
      <c r="BJ3" s="8" t="str">
        <f t="shared" si="1"/>
        <v/>
      </c>
      <c r="BK3" s="8" t="str">
        <f t="shared" si="1"/>
        <v/>
      </c>
      <c r="BL3" s="8" t="str">
        <f t="shared" si="1"/>
        <v/>
      </c>
      <c r="BM3" s="8" t="str">
        <f t="shared" si="1"/>
        <v/>
      </c>
      <c r="BN3" s="8" t="str">
        <f t="shared" si="1"/>
        <v/>
      </c>
      <c r="BO3" s="8" t="str">
        <f t="shared" si="1"/>
        <v/>
      </c>
      <c r="BP3" s="8" t="str">
        <f t="shared" si="1"/>
        <v/>
      </c>
    </row>
    <row r="4" spans="1:71" ht="21.6" customHeight="1" x14ac:dyDescent="0.4">
      <c r="A4" s="12" t="s">
        <v>1</v>
      </c>
      <c r="B4" s="12" t="s">
        <v>11</v>
      </c>
      <c r="C4" s="12" t="s">
        <v>12</v>
      </c>
      <c r="D4" s="12" t="s">
        <v>13</v>
      </c>
      <c r="E4" s="12" t="s">
        <v>2</v>
      </c>
      <c r="F4" s="12" t="s">
        <v>3</v>
      </c>
      <c r="G4" s="14" t="s">
        <v>9</v>
      </c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</row>
    <row r="5" spans="1:71" ht="21.6" customHeight="1" x14ac:dyDescent="0.4">
      <c r="A5" s="4">
        <v>1</v>
      </c>
      <c r="B5" s="4"/>
      <c r="C5" s="4"/>
      <c r="D5" s="4"/>
      <c r="E5" s="3"/>
      <c r="F5" s="3"/>
      <c r="G5" s="16" t="str">
        <f t="shared" ref="G5:G24" si="2">IF(COUNTA(E5:F5)=2, F5-E5, "--:--")</f>
        <v>--:--</v>
      </c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</row>
    <row r="6" spans="1:71" ht="21.6" customHeight="1" x14ac:dyDescent="0.4">
      <c r="A6" s="4">
        <v>2</v>
      </c>
      <c r="B6" s="4"/>
      <c r="C6" s="4"/>
      <c r="D6" s="4"/>
      <c r="E6" s="3"/>
      <c r="F6" s="3"/>
      <c r="G6" s="16" t="str">
        <f t="shared" si="2"/>
        <v>--:--</v>
      </c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</row>
    <row r="7" spans="1:71" ht="21.6" customHeight="1" x14ac:dyDescent="0.4">
      <c r="A7" s="4">
        <v>3</v>
      </c>
      <c r="B7" s="4"/>
      <c r="C7" s="4"/>
      <c r="D7" s="4"/>
      <c r="E7" s="3"/>
      <c r="F7" s="3"/>
      <c r="G7" s="16" t="str">
        <f t="shared" si="2"/>
        <v>--:--</v>
      </c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</row>
    <row r="8" spans="1:71" ht="21.6" customHeight="1" x14ac:dyDescent="0.4">
      <c r="A8" s="4">
        <v>4</v>
      </c>
      <c r="B8" s="4"/>
      <c r="C8" s="4"/>
      <c r="D8" s="4"/>
      <c r="E8" s="3"/>
      <c r="F8" s="3"/>
      <c r="G8" s="16" t="str">
        <f t="shared" si="2"/>
        <v>--:--</v>
      </c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</row>
    <row r="9" spans="1:71" ht="21.6" customHeight="1" x14ac:dyDescent="0.4">
      <c r="A9" s="4">
        <v>5</v>
      </c>
      <c r="B9" s="4"/>
      <c r="C9" s="4"/>
      <c r="D9" s="4"/>
      <c r="E9" s="3"/>
      <c r="F9" s="3"/>
      <c r="G9" s="16" t="str">
        <f t="shared" si="2"/>
        <v>--:--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</row>
    <row r="10" spans="1:71" ht="21.6" customHeight="1" x14ac:dyDescent="0.4">
      <c r="A10" s="4">
        <v>6</v>
      </c>
      <c r="B10" s="4"/>
      <c r="C10" s="4"/>
      <c r="D10" s="4"/>
      <c r="E10" s="3"/>
      <c r="F10" s="3"/>
      <c r="G10" s="16" t="str">
        <f t="shared" si="2"/>
        <v>--:--</v>
      </c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</row>
    <row r="11" spans="1:71" ht="21.6" customHeight="1" x14ac:dyDescent="0.4">
      <c r="A11" s="4">
        <v>7</v>
      </c>
      <c r="B11" s="4"/>
      <c r="C11" s="4"/>
      <c r="D11" s="4"/>
      <c r="E11" s="3"/>
      <c r="F11" s="3"/>
      <c r="G11" s="16" t="str">
        <f t="shared" si="2"/>
        <v>--:--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</row>
    <row r="12" spans="1:71" ht="21.6" customHeight="1" x14ac:dyDescent="0.4">
      <c r="A12" s="4">
        <v>8</v>
      </c>
      <c r="B12" s="4"/>
      <c r="C12" s="4"/>
      <c r="D12" s="4"/>
      <c r="E12" s="3"/>
      <c r="F12" s="3"/>
      <c r="G12" s="16" t="str">
        <f t="shared" si="2"/>
        <v>--:--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</row>
    <row r="13" spans="1:71" ht="21.6" customHeight="1" x14ac:dyDescent="0.4">
      <c r="A13" s="4">
        <v>9</v>
      </c>
      <c r="B13" s="4"/>
      <c r="C13" s="4"/>
      <c r="D13" s="4"/>
      <c r="E13" s="3"/>
      <c r="F13" s="3"/>
      <c r="G13" s="16" t="str">
        <f t="shared" si="2"/>
        <v>--:--</v>
      </c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</row>
    <row r="14" spans="1:71" ht="21.6" customHeight="1" x14ac:dyDescent="0.4">
      <c r="A14" s="4">
        <v>10</v>
      </c>
      <c r="B14" s="4"/>
      <c r="C14" s="4"/>
      <c r="D14" s="4"/>
      <c r="E14" s="3"/>
      <c r="F14" s="3"/>
      <c r="G14" s="16" t="str">
        <f t="shared" si="2"/>
        <v>--:--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</row>
    <row r="15" spans="1:71" ht="21.6" customHeight="1" x14ac:dyDescent="0.4">
      <c r="A15" s="4">
        <v>11</v>
      </c>
      <c r="B15" s="4"/>
      <c r="C15" s="4"/>
      <c r="D15" s="4"/>
      <c r="E15" s="3"/>
      <c r="F15" s="3"/>
      <c r="G15" s="16" t="str">
        <f t="shared" si="2"/>
        <v>--:--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</row>
    <row r="16" spans="1:71" ht="21.6" customHeight="1" x14ac:dyDescent="0.4">
      <c r="A16" s="4">
        <v>12</v>
      </c>
      <c r="B16" s="4"/>
      <c r="C16" s="4"/>
      <c r="D16" s="4"/>
      <c r="E16" s="3"/>
      <c r="F16" s="3"/>
      <c r="G16" s="16" t="str">
        <f t="shared" si="2"/>
        <v>--:--</v>
      </c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</row>
    <row r="17" spans="1:68" ht="21.6" customHeight="1" x14ac:dyDescent="0.4">
      <c r="A17" s="4">
        <v>13</v>
      </c>
      <c r="B17" s="4"/>
      <c r="C17" s="4"/>
      <c r="D17" s="4"/>
      <c r="E17" s="3"/>
      <c r="F17" s="3"/>
      <c r="G17" s="16" t="str">
        <f t="shared" si="2"/>
        <v>--:--</v>
      </c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</row>
    <row r="18" spans="1:68" ht="21.6" customHeight="1" x14ac:dyDescent="0.4">
      <c r="A18" s="4">
        <v>14</v>
      </c>
      <c r="B18" s="4"/>
      <c r="C18" s="4"/>
      <c r="D18" s="4"/>
      <c r="E18" s="3"/>
      <c r="F18" s="3"/>
      <c r="G18" s="16" t="str">
        <f t="shared" si="2"/>
        <v>--:--</v>
      </c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</row>
    <row r="19" spans="1:68" ht="21.6" customHeight="1" x14ac:dyDescent="0.4">
      <c r="A19" s="4">
        <v>15</v>
      </c>
      <c r="B19" s="4"/>
      <c r="C19" s="4"/>
      <c r="D19" s="4"/>
      <c r="E19" s="3"/>
      <c r="F19" s="3"/>
      <c r="G19" s="16" t="str">
        <f t="shared" si="2"/>
        <v>--:--</v>
      </c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</row>
    <row r="20" spans="1:68" ht="21.6" customHeight="1" x14ac:dyDescent="0.4">
      <c r="A20" s="4">
        <v>16</v>
      </c>
      <c r="B20" s="4"/>
      <c r="C20" s="4"/>
      <c r="D20" s="4"/>
      <c r="E20" s="3"/>
      <c r="F20" s="3"/>
      <c r="G20" s="16" t="str">
        <f t="shared" si="2"/>
        <v>--:--</v>
      </c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</row>
    <row r="21" spans="1:68" ht="21.6" customHeight="1" x14ac:dyDescent="0.4">
      <c r="A21" s="4">
        <v>17</v>
      </c>
      <c r="B21" s="4"/>
      <c r="C21" s="4"/>
      <c r="D21" s="4"/>
      <c r="E21" s="3"/>
      <c r="F21" s="3"/>
      <c r="G21" s="16" t="str">
        <f t="shared" si="2"/>
        <v>--:--</v>
      </c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</row>
    <row r="22" spans="1:68" ht="21.6" customHeight="1" x14ac:dyDescent="0.4">
      <c r="A22" s="4">
        <v>18</v>
      </c>
      <c r="B22" s="4"/>
      <c r="C22" s="4"/>
      <c r="D22" s="4"/>
      <c r="E22" s="3"/>
      <c r="F22" s="3"/>
      <c r="G22" s="16" t="str">
        <f t="shared" si="2"/>
        <v>--:--</v>
      </c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</row>
    <row r="23" spans="1:68" ht="21.6" customHeight="1" x14ac:dyDescent="0.4">
      <c r="A23" s="4">
        <v>19</v>
      </c>
      <c r="B23" s="4"/>
      <c r="C23" s="4"/>
      <c r="D23" s="4"/>
      <c r="E23" s="3"/>
      <c r="F23" s="3"/>
      <c r="G23" s="16" t="str">
        <f t="shared" si="2"/>
        <v>--:--</v>
      </c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</row>
    <row r="24" spans="1:68" ht="21.6" customHeight="1" x14ac:dyDescent="0.4">
      <c r="A24" s="4">
        <v>20</v>
      </c>
      <c r="B24" s="4"/>
      <c r="C24" s="4"/>
      <c r="D24" s="4"/>
      <c r="E24" s="3"/>
      <c r="F24" s="3"/>
      <c r="G24" s="16" t="str">
        <f t="shared" si="2"/>
        <v>--:--</v>
      </c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</row>
    <row r="25" spans="1:68" s="9" customFormat="1" x14ac:dyDescent="0.4"/>
    <row r="26" spans="1:68" x14ac:dyDescent="0.4">
      <c r="A26" s="1" t="s">
        <v>10</v>
      </c>
    </row>
    <row r="27" spans="1:68" x14ac:dyDescent="0.4">
      <c r="A27" s="1" t="s">
        <v>8</v>
      </c>
    </row>
  </sheetData>
  <phoneticPr fontId="1"/>
  <conditionalFormatting sqref="H2:BP2">
    <cfRule type="expression" dxfId="9" priority="4">
      <formula>HOUR(G$2)=HOUR(H$2)</formula>
    </cfRule>
    <cfRule type="expression" dxfId="8" priority="5">
      <formula>HOUR(G$2)&lt;&gt;HOUR(H$2)</formula>
    </cfRule>
  </conditionalFormatting>
  <conditionalFormatting sqref="H3:BP3">
    <cfRule type="expression" dxfId="7" priority="3">
      <formula>LEN(H$3)</formula>
    </cfRule>
  </conditionalFormatting>
  <conditionalFormatting sqref="H4:BP24">
    <cfRule type="expression" dxfId="6" priority="2">
      <formula>LEN(H$2)</formula>
    </cfRule>
  </conditionalFormatting>
  <conditionalFormatting sqref="H5:BP24">
    <cfRule type="expression" dxfId="5" priority="1">
      <formula>AND($E5&lt;=H$2, H$2&lt;$F5)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表紙</vt:lpstr>
      <vt:lpstr>実績表_20240617</vt:lpstr>
      <vt:lpstr>工程表tmp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 t</cp:lastModifiedBy>
  <dcterms:created xsi:type="dcterms:W3CDTF">2021-05-14T04:40:37Z</dcterms:created>
  <dcterms:modified xsi:type="dcterms:W3CDTF">2024-06-16T15:27:17Z</dcterms:modified>
</cp:coreProperties>
</file>